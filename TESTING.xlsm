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1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ijaya\Pictures\"/>
    </mc:Choice>
  </mc:AlternateContent>
  <xr:revisionPtr revIDLastSave="0" documentId="13_ncr:1_{4E30B785-5DDF-4E6F-8560-470C7B32D7F7}" xr6:coauthVersionLast="47" xr6:coauthVersionMax="47" xr10:uidLastSave="{00000000-0000-0000-0000-000000000000}"/>
  <bookViews>
    <workbookView xWindow="-120" yWindow="-120" windowWidth="19800" windowHeight="11760" tabRatio="712" xr2:uid="{F1860F86-40BE-4EAC-9023-E4D839B53F1C}"/>
  </bookViews>
  <sheets>
    <sheet name="OKT 25 NEW" sheetId="21" r:id="rId1"/>
    <sheet name="slip gaji" sheetId="20" r:id="rId2"/>
  </sheets>
  <definedNames>
    <definedName name="B">'OKT 25 NEW'!$B:$B</definedName>
    <definedName name="JABATAN">'slip gaji'!$C$9</definedName>
    <definedName name="NAMA">'slip gaji'!$C$8</definedName>
    <definedName name="PERIODE">'slip gaji'!$F$10</definedName>
    <definedName name="_xlnm.Print_Area" localSheetId="1">'slip gaji'!$B$1:$F$33</definedName>
    <definedName name="TABELGAJI">'OKT 25 NEW'!$B$6:$S$11</definedName>
    <definedName name="V">'OKT 25 NEW'!$B:$B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2" i="20" l="1"/>
  <c r="C16" i="20"/>
  <c r="C25" i="20"/>
  <c r="C23" i="20"/>
  <c r="F17" i="20"/>
  <c r="F16" i="20"/>
  <c r="F15" i="20"/>
  <c r="F14" i="20"/>
  <c r="F13" i="20"/>
  <c r="C19" i="20"/>
  <c r="C18" i="20"/>
  <c r="C17" i="20"/>
  <c r="C14" i="20"/>
  <c r="C13" i="20"/>
  <c r="F10" i="20"/>
  <c r="F9" i="20"/>
  <c r="C10" i="20"/>
  <c r="C9" i="20"/>
  <c r="S6" i="21"/>
  <c r="I11" i="21"/>
  <c r="S11" i="21" s="1"/>
  <c r="I10" i="21"/>
  <c r="S10" i="21" s="1"/>
  <c r="I9" i="21"/>
  <c r="S9" i="21" s="1"/>
  <c r="I8" i="21"/>
  <c r="S8" i="21" s="1"/>
  <c r="I7" i="21"/>
  <c r="S7" i="21" s="1"/>
  <c r="I6" i="21"/>
  <c r="C21" i="20" l="1"/>
  <c r="F21" i="20"/>
  <c r="S12" i="21"/>
</calcChain>
</file>

<file path=xl/sharedStrings.xml><?xml version="1.0" encoding="utf-8"?>
<sst xmlns="http://schemas.openxmlformats.org/spreadsheetml/2006/main" count="78" uniqueCount="55">
  <si>
    <t>NO.</t>
  </si>
  <si>
    <t>NAMA</t>
  </si>
  <si>
    <t>KODE DEPARTEMENT</t>
  </si>
  <si>
    <t>JABATAN</t>
  </si>
  <si>
    <t>TOTAL HARI KERJA</t>
  </si>
  <si>
    <t>GAJI</t>
  </si>
  <si>
    <t>HARIAN</t>
  </si>
  <si>
    <t>BPJS Ketenagakerjaan</t>
  </si>
  <si>
    <t>BPJS Kesehatan</t>
  </si>
  <si>
    <t>BONUS</t>
  </si>
  <si>
    <t>PINJAMAN</t>
  </si>
  <si>
    <t>SISA PINJAMAN</t>
  </si>
  <si>
    <t>GAJI BERSIH</t>
  </si>
  <si>
    <t>Harian</t>
  </si>
  <si>
    <t>Bonus</t>
  </si>
  <si>
    <t>PENERIMA</t>
  </si>
  <si>
    <t>DIKETAHUI OLEH</t>
  </si>
  <si>
    <t>ABBAS</t>
  </si>
  <si>
    <t>KARYAWAN</t>
  </si>
  <si>
    <t>DIREKTUR</t>
  </si>
  <si>
    <t>WELDER</t>
  </si>
  <si>
    <t>TABANG</t>
  </si>
  <si>
    <t>Hari Kerja</t>
  </si>
  <si>
    <t>SLIP GAJI KARYAWAN</t>
  </si>
  <si>
    <t>SLIP GAJI</t>
  </si>
  <si>
    <t>TANGGAL</t>
  </si>
  <si>
    <t>DEPT</t>
  </si>
  <si>
    <t>PERIODE GAJI</t>
  </si>
  <si>
    <t>PENDAPATAN</t>
  </si>
  <si>
    <t>PEMOTONGAN</t>
  </si>
  <si>
    <t>Pinjaman</t>
  </si>
  <si>
    <t>Lain-Lain</t>
  </si>
  <si>
    <t>THR</t>
  </si>
  <si>
    <t>APD, Sepatu, dll</t>
  </si>
  <si>
    <t>TOTAL PENDAPATAN</t>
  </si>
  <si>
    <t>TOTAL PEMOTONGAN</t>
  </si>
  <si>
    <t>GAJI DITERIMA</t>
  </si>
  <si>
    <t>PERIODE</t>
  </si>
  <si>
    <t>PENDAPATAN LAIN-LAIN</t>
  </si>
  <si>
    <t>POTONGAN LAIN-LAIN</t>
  </si>
  <si>
    <t>POTONGAN APD, SEPATU DSB</t>
  </si>
  <si>
    <t>Pendapatan</t>
  </si>
  <si>
    <t>OKTOBER 2025</t>
  </si>
  <si>
    <t>NAMASATU SATU</t>
  </si>
  <si>
    <t>NAMADUA DUA</t>
  </si>
  <si>
    <t>NAMATIGA TIGA</t>
  </si>
  <si>
    <t>NAMAEMPAT EMPAT</t>
  </si>
  <si>
    <t>NAMALIMA LIMA</t>
  </si>
  <si>
    <t>NAMAENAM ENAM</t>
  </si>
  <si>
    <t>DESIGNER</t>
  </si>
  <si>
    <t>PROGRAM</t>
  </si>
  <si>
    <t>CV.CONTOH SAJA</t>
  </si>
  <si>
    <t>Alamat: Jl.SATU DUA TIGA</t>
  </si>
  <si>
    <t>Kabupaten Kutai Kartanegara Telp.0123456</t>
  </si>
  <si>
    <t>Email: email@gmail.com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</si>
</sst>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Rp&quot;* #,##0.00_-;\-&quot;Rp&quot;* #,##0.00_-;_-&quot;Rp&quot;* &quot;-&quot;??_-;_-@_-"/>
    <numFmt numFmtId="165" formatCode="@\ * &quot;:&quot;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mbria"/>
      <family val="1"/>
    </font>
    <font>
      <b/>
      <sz val="18"/>
      <color rgb="FF000000"/>
      <name val="Arial Black"/>
      <family val="2"/>
    </font>
    <font>
      <b/>
      <sz val="12"/>
      <color rgb="FF000000"/>
      <name val="Arial Black"/>
      <family val="2"/>
    </font>
    <font>
      <sz val="8"/>
      <name val="Calibri"/>
      <family val="2"/>
      <scheme val="minor"/>
    </font>
    <font>
      <b/>
      <sz val="20"/>
      <color rgb="FF000000"/>
      <name val="Times New Roman"/>
      <family val="1"/>
    </font>
    <font>
      <sz val="18"/>
      <color theme="1"/>
      <name val="Times New Roman"/>
      <family val="1"/>
    </font>
    <font>
      <b/>
      <sz val="18"/>
      <color theme="1"/>
      <name val="Times New Roman"/>
      <family val="1"/>
    </font>
    <font>
      <b/>
      <sz val="16"/>
      <color theme="1"/>
      <name val="Times New Roman"/>
      <family val="1"/>
    </font>
    <font>
      <sz val="16"/>
      <color theme="1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thin">
        <color indexed="64"/>
      </right>
      <top style="thin">
        <color auto="1"/>
      </top>
      <bottom style="double">
        <color auto="1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3" fillId="4" borderId="1" xfId="0" applyFont="1" applyFill="1" applyBorder="1" applyAlignment="1">
      <alignment horizontal="center"/>
    </xf>
    <xf numFmtId="0" fontId="4" fillId="4" borderId="1" xfId="0" applyFont="1" applyFill="1" applyBorder="1"/>
    <xf numFmtId="0" fontId="3" fillId="0" borderId="1" xfId="0" applyFont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3" fillId="3" borderId="1" xfId="0" applyNumberFormat="1" applyFont="1" applyFill="1" applyBorder="1"/>
    <xf numFmtId="164" fontId="3" fillId="0" borderId="1" xfId="0" applyNumberFormat="1" applyFont="1" applyBorder="1"/>
    <xf numFmtId="164" fontId="3" fillId="6" borderId="1" xfId="0" applyNumberFormat="1" applyFont="1" applyFill="1" applyBorder="1"/>
    <xf numFmtId="164" fontId="3" fillId="0" borderId="0" xfId="0" applyNumberFormat="1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0" fontId="4" fillId="4" borderId="2" xfId="0" applyFont="1" applyFill="1" applyBorder="1"/>
    <xf numFmtId="0" fontId="3" fillId="0" borderId="2" xfId="0" applyFont="1" applyBorder="1" applyAlignment="1">
      <alignment horizontal="center" vertical="center"/>
    </xf>
    <xf numFmtId="164" fontId="3" fillId="5" borderId="2" xfId="0" applyNumberFormat="1" applyFont="1" applyFill="1" applyBorder="1" applyAlignment="1">
      <alignment horizontal="center" vertical="center"/>
    </xf>
    <xf numFmtId="164" fontId="3" fillId="3" borderId="2" xfId="0" applyNumberFormat="1" applyFont="1" applyFill="1" applyBorder="1"/>
    <xf numFmtId="164" fontId="3" fillId="0" borderId="2" xfId="0" applyNumberFormat="1" applyFont="1" applyBorder="1"/>
    <xf numFmtId="164" fontId="3" fillId="0" borderId="1" xfId="0" applyNumberFormat="1" applyFont="1" applyBorder="1" applyAlignment="1">
      <alignment horizontal="center" vertical="center"/>
    </xf>
    <xf numFmtId="164" fontId="1" fillId="0" borderId="0" xfId="0" applyNumberFormat="1" applyFont="1"/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165" fontId="11" fillId="0" borderId="7" xfId="0" applyNumberFormat="1" applyFont="1" applyBorder="1" applyAlignment="1">
      <alignment horizontal="center" vertical="center"/>
    </xf>
    <xf numFmtId="0" fontId="12" fillId="0" borderId="8" xfId="0" applyFont="1" applyBorder="1"/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12" fillId="0" borderId="7" xfId="0" applyFont="1" applyBorder="1" applyAlignment="1">
      <alignment horizontal="center" vertical="center"/>
    </xf>
    <xf numFmtId="0" fontId="11" fillId="0" borderId="18" xfId="0" applyFont="1" applyBorder="1" applyAlignment="1">
      <alignment horizontal="left" vertical="center"/>
    </xf>
    <xf numFmtId="0" fontId="12" fillId="0" borderId="19" xfId="0" applyFont="1" applyBorder="1" applyAlignment="1">
      <alignment horizontal="left" vertical="center"/>
    </xf>
    <xf numFmtId="0" fontId="11" fillId="0" borderId="19" xfId="0" applyFont="1" applyBorder="1" applyAlignment="1">
      <alignment horizontal="left" vertical="center"/>
    </xf>
    <xf numFmtId="0" fontId="12" fillId="0" borderId="20" xfId="0" applyFont="1" applyBorder="1"/>
    <xf numFmtId="165" fontId="12" fillId="0" borderId="7" xfId="0" applyNumberFormat="1" applyFont="1" applyBorder="1" applyAlignment="1">
      <alignment horizontal="center" vertical="center"/>
    </xf>
    <xf numFmtId="0" fontId="12" fillId="0" borderId="7" xfId="0" applyFont="1" applyBorder="1"/>
    <xf numFmtId="0" fontId="12" fillId="0" borderId="0" xfId="0" applyFont="1"/>
    <xf numFmtId="165" fontId="11" fillId="0" borderId="7" xfId="0" applyNumberFormat="1" applyFont="1" applyBorder="1"/>
    <xf numFmtId="0" fontId="12" fillId="0" borderId="9" xfId="0" applyFont="1" applyBorder="1"/>
    <xf numFmtId="0" fontId="12" fillId="0" borderId="11" xfId="0" applyFont="1" applyBorder="1"/>
    <xf numFmtId="14" fontId="3" fillId="0" borderId="1" xfId="0" applyNumberFormat="1" applyFont="1" applyBorder="1" applyAlignment="1">
      <alignment horizontal="center" vertical="center"/>
    </xf>
    <xf numFmtId="164" fontId="12" fillId="0" borderId="19" xfId="0" applyNumberFormat="1" applyFont="1" applyBorder="1" applyAlignment="1">
      <alignment horizontal="left" vertical="center"/>
    </xf>
    <xf numFmtId="164" fontId="12" fillId="0" borderId="20" xfId="0" applyNumberFormat="1" applyFont="1" applyBorder="1"/>
    <xf numFmtId="0" fontId="11" fillId="0" borderId="13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165" fontId="11" fillId="0" borderId="0" xfId="0" applyNumberFormat="1" applyFont="1" applyAlignment="1">
      <alignment horizontal="center" vertical="center"/>
    </xf>
    <xf numFmtId="0" fontId="12" fillId="0" borderId="8" xfId="0" applyFont="1" applyBorder="1" applyAlignment="1">
      <alignment horizontal="left" vertical="center"/>
    </xf>
    <xf numFmtId="14" fontId="12" fillId="0" borderId="8" xfId="0" applyNumberFormat="1" applyFont="1" applyBorder="1" applyAlignment="1">
      <alignment horizontal="left" vertical="center"/>
    </xf>
    <xf numFmtId="165" fontId="12" fillId="0" borderId="0" xfId="0" applyNumberFormat="1" applyFont="1" applyAlignment="1">
      <alignment horizontal="center" vertical="center"/>
    </xf>
    <xf numFmtId="164" fontId="11" fillId="0" borderId="0" xfId="0" applyNumberFormat="1" applyFont="1" applyAlignment="1">
      <alignment horizontal="left" vertical="center"/>
    </xf>
    <xf numFmtId="164" fontId="12" fillId="0" borderId="8" xfId="0" applyNumberFormat="1" applyFont="1" applyBorder="1" applyAlignment="1">
      <alignment horizontal="left" vertical="center"/>
    </xf>
    <xf numFmtId="0" fontId="11" fillId="0" borderId="0" xfId="0" applyFont="1" applyAlignment="1">
      <alignment horizontal="right" vertical="center"/>
    </xf>
    <xf numFmtId="164" fontId="12" fillId="0" borderId="0" xfId="0" applyNumberFormat="1" applyFont="1" applyAlignment="1">
      <alignment horizontal="left" vertical="center"/>
    </xf>
    <xf numFmtId="164" fontId="11" fillId="5" borderId="0" xfId="0" applyNumberFormat="1" applyFont="1" applyFill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63500</xdr:colOff>
      <xdr:row>10</xdr:row>
      <xdr:rowOff>254000</xdr:rowOff>
    </xdr:from>
    <xdr:to>
      <xdr:col>9</xdr:col>
      <xdr:colOff>158750</xdr:colOff>
      <xdr:row>13</xdr:row>
      <xdr:rowOff>42334</xdr:rowOff>
    </xdr:to>
    <xdr:sp macro="[0]!PrintPDF" textlink="">
      <xdr:nvSpPr>
        <xdr:cNvPr id="3" name="Rectangle 2">
          <a:extLst>
            <a:ext uri="{FF2B5EF4-FFF2-40B4-BE49-F238E27FC236}">
              <a16:creationId xmlns:a16="http://schemas.microsoft.com/office/drawing/2014/main" id="{1A7A2083-0C20-6727-F9D6-6F963EF7E820}"/>
            </a:ext>
          </a:extLst>
        </xdr:cNvPr>
        <xdr:cNvSpPr/>
      </xdr:nvSpPr>
      <xdr:spPr>
        <a:xfrm>
          <a:off x="10710333" y="3217333"/>
          <a:ext cx="1322917" cy="58208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800">
              <a:latin typeface="Arial Black" panose="020B0A04020102020204" pitchFamily="34" charset="0"/>
            </a:rPr>
            <a:t>print</a:t>
          </a:r>
        </a:p>
        <a:p>
          <a:pPr algn="ctr"/>
          <a:endParaRPr lang="en-ID" sz="1800">
            <a:latin typeface="Arial Black" panose="020B0A04020102020204" pitchFamily="34" charset="0"/>
          </a:endParaRP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A811E-0BDD-4F87-9F84-0AC5DD45AA74}">
  <sheetPr codeName="Sheet18"/>
  <dimension ref="A4:T15"/>
  <sheetViews>
    <sheetView tabSelected="1" view="pageBreakPreview" zoomScale="115" zoomScaleNormal="57" zoomScaleSheetLayoutView="115" workbookViewId="0">
      <selection activeCell="I16" sqref="I16"/>
    </sheetView>
  </sheetViews>
  <sheetFormatPr defaultRowHeight="15" x14ac:dyDescent="0.25"/>
  <cols>
    <col min="1" max="1" width="4" bestFit="1" customWidth="1"/>
    <col min="2" max="2" width="25.85546875" customWidth="1"/>
    <col min="3" max="3" width="18.85546875" bestFit="1" customWidth="1"/>
    <col min="4" max="4" width="13.42578125" bestFit="1" customWidth="1"/>
    <col min="5" max="6" width="13.42578125" customWidth="1"/>
    <col min="7" max="7" width="16.28515625" bestFit="1" customWidth="1"/>
    <col min="8" max="8" width="14.85546875" customWidth="1"/>
    <col min="9" max="9" width="16.28515625" bestFit="1" customWidth="1"/>
    <col min="10" max="12" width="16.28515625" customWidth="1"/>
    <col min="13" max="13" width="18.85546875" bestFit="1" customWidth="1"/>
    <col min="14" max="14" width="13.5703125" bestFit="1" customWidth="1"/>
    <col min="15" max="15" width="13.85546875" customWidth="1"/>
    <col min="16" max="16" width="16.28515625" customWidth="1"/>
    <col min="17" max="17" width="16.28515625" bestFit="1" customWidth="1"/>
    <col min="18" max="18" width="15.85546875" bestFit="1" customWidth="1"/>
    <col min="19" max="19" width="17.85546875" bestFit="1" customWidth="1"/>
    <col min="20" max="20" width="17.42578125" bestFit="1" customWidth="1"/>
  </cols>
  <sheetData>
    <row r="4" spans="1:20" x14ac:dyDescent="0.25">
      <c r="A4" s="73" t="s">
        <v>0</v>
      </c>
      <c r="B4" s="74" t="s">
        <v>1</v>
      </c>
      <c r="C4" s="75" t="s">
        <v>2</v>
      </c>
      <c r="D4" s="73" t="s">
        <v>3</v>
      </c>
      <c r="E4" s="76" t="s">
        <v>25</v>
      </c>
      <c r="F4" s="76" t="s">
        <v>37</v>
      </c>
      <c r="G4" s="75" t="s">
        <v>4</v>
      </c>
      <c r="H4" s="70" t="s">
        <v>6</v>
      </c>
      <c r="I4" s="80" t="s">
        <v>5</v>
      </c>
      <c r="J4" s="78" t="s">
        <v>9</v>
      </c>
      <c r="K4" s="78" t="s">
        <v>38</v>
      </c>
      <c r="L4" s="78" t="s">
        <v>32</v>
      </c>
      <c r="M4" s="68" t="s">
        <v>7</v>
      </c>
      <c r="N4" s="68" t="s">
        <v>8</v>
      </c>
      <c r="O4" s="68" t="s">
        <v>39</v>
      </c>
      <c r="P4" s="68" t="s">
        <v>40</v>
      </c>
      <c r="Q4" s="70" t="s">
        <v>10</v>
      </c>
      <c r="R4" s="68" t="s">
        <v>11</v>
      </c>
      <c r="S4" s="68" t="s">
        <v>12</v>
      </c>
    </row>
    <row r="5" spans="1:20" x14ac:dyDescent="0.25">
      <c r="A5" s="73"/>
      <c r="B5" s="74"/>
      <c r="C5" s="75"/>
      <c r="D5" s="73"/>
      <c r="E5" s="77"/>
      <c r="F5" s="77"/>
      <c r="G5" s="75"/>
      <c r="H5" s="71"/>
      <c r="I5" s="80"/>
      <c r="J5" s="79"/>
      <c r="K5" s="79"/>
      <c r="L5" s="79"/>
      <c r="M5" s="69"/>
      <c r="N5" s="69"/>
      <c r="O5" s="69"/>
      <c r="P5" s="69"/>
      <c r="Q5" s="71"/>
      <c r="R5" s="72"/>
      <c r="S5" s="72"/>
    </row>
    <row r="6" spans="1:20" x14ac:dyDescent="0.25">
      <c r="A6" s="1">
        <v>1</v>
      </c>
      <c r="B6" s="2" t="s">
        <v>43</v>
      </c>
      <c r="C6" s="3" t="s">
        <v>21</v>
      </c>
      <c r="D6" s="3" t="s">
        <v>20</v>
      </c>
      <c r="E6" s="41">
        <v>45975</v>
      </c>
      <c r="F6" s="41" t="s">
        <v>42</v>
      </c>
      <c r="G6" s="4">
        <v>30</v>
      </c>
      <c r="H6" s="10">
        <v>256666</v>
      </c>
      <c r="I6" s="5">
        <f t="shared" ref="I6:I11" si="0">G6*H6</f>
        <v>7699980</v>
      </c>
      <c r="J6" s="20">
        <v>0</v>
      </c>
      <c r="K6" s="20">
        <v>0</v>
      </c>
      <c r="L6" s="20">
        <v>0</v>
      </c>
      <c r="M6" s="7">
        <v>135000</v>
      </c>
      <c r="N6" s="7">
        <v>70000</v>
      </c>
      <c r="O6" s="8">
        <v>0</v>
      </c>
      <c r="P6" s="8">
        <v>0</v>
      </c>
      <c r="Q6" s="8">
        <v>0</v>
      </c>
      <c r="R6" s="8">
        <v>1000000</v>
      </c>
      <c r="S6" s="9">
        <f>I6+J6+K6+L6-M6-N6-O6-P6-Q6</f>
        <v>7494980</v>
      </c>
    </row>
    <row r="7" spans="1:20" x14ac:dyDescent="0.25">
      <c r="A7" s="1">
        <v>2</v>
      </c>
      <c r="B7" s="15" t="s">
        <v>44</v>
      </c>
      <c r="C7" s="16" t="s">
        <v>21</v>
      </c>
      <c r="D7" s="16" t="s">
        <v>49</v>
      </c>
      <c r="E7" s="41">
        <v>45975</v>
      </c>
      <c r="F7" s="41" t="s">
        <v>42</v>
      </c>
      <c r="G7" s="4">
        <v>23</v>
      </c>
      <c r="H7" s="6">
        <v>256666</v>
      </c>
      <c r="I7" s="17">
        <f t="shared" si="0"/>
        <v>5903318</v>
      </c>
      <c r="J7" s="20">
        <v>0</v>
      </c>
      <c r="K7" s="20">
        <v>0</v>
      </c>
      <c r="L7" s="20">
        <v>0</v>
      </c>
      <c r="M7" s="18">
        <v>0</v>
      </c>
      <c r="N7" s="18">
        <v>0</v>
      </c>
      <c r="O7" s="8">
        <v>0</v>
      </c>
      <c r="P7" s="8">
        <v>0</v>
      </c>
      <c r="Q7" s="8">
        <v>0</v>
      </c>
      <c r="R7" s="19">
        <v>0</v>
      </c>
      <c r="S7" s="9">
        <f t="shared" ref="S7:S11" si="1">I7+J7+K7+L7-M7-N7-O7-P7-Q7</f>
        <v>5903318</v>
      </c>
    </row>
    <row r="8" spans="1:20" x14ac:dyDescent="0.25">
      <c r="A8" s="1">
        <v>3</v>
      </c>
      <c r="B8" s="2" t="s">
        <v>45</v>
      </c>
      <c r="C8" s="3" t="s">
        <v>21</v>
      </c>
      <c r="D8" s="3" t="s">
        <v>20</v>
      </c>
      <c r="E8" s="41">
        <v>45975</v>
      </c>
      <c r="F8" s="41" t="s">
        <v>42</v>
      </c>
      <c r="G8" s="4">
        <v>30</v>
      </c>
      <c r="H8" s="6">
        <v>266666</v>
      </c>
      <c r="I8" s="5">
        <f t="shared" si="0"/>
        <v>7999980</v>
      </c>
      <c r="J8" s="20">
        <v>0</v>
      </c>
      <c r="K8" s="20">
        <v>0</v>
      </c>
      <c r="L8" s="20">
        <v>0</v>
      </c>
      <c r="M8" s="18">
        <v>0</v>
      </c>
      <c r="N8" s="18">
        <v>0</v>
      </c>
      <c r="O8" s="8">
        <v>0</v>
      </c>
      <c r="P8" s="8">
        <v>0</v>
      </c>
      <c r="Q8" s="8">
        <v>0</v>
      </c>
      <c r="R8" s="19">
        <v>300000</v>
      </c>
      <c r="S8" s="9">
        <f t="shared" si="1"/>
        <v>7999980</v>
      </c>
    </row>
    <row r="9" spans="1:20" x14ac:dyDescent="0.25">
      <c r="A9" s="1">
        <v>4</v>
      </c>
      <c r="B9" s="2" t="s">
        <v>46</v>
      </c>
      <c r="C9" s="3" t="s">
        <v>21</v>
      </c>
      <c r="D9" s="3" t="s">
        <v>50</v>
      </c>
      <c r="E9" s="41">
        <v>45975</v>
      </c>
      <c r="F9" s="41" t="s">
        <v>42</v>
      </c>
      <c r="G9" s="4">
        <v>30</v>
      </c>
      <c r="H9" s="6">
        <v>300000</v>
      </c>
      <c r="I9" s="5">
        <f t="shared" si="0"/>
        <v>9000000</v>
      </c>
      <c r="J9" s="20">
        <v>0</v>
      </c>
      <c r="K9" s="20">
        <v>0</v>
      </c>
      <c r="L9" s="20">
        <v>0</v>
      </c>
      <c r="M9" s="18">
        <v>135000</v>
      </c>
      <c r="N9" s="18">
        <v>70000</v>
      </c>
      <c r="O9" s="8">
        <v>0</v>
      </c>
      <c r="P9" s="8">
        <v>0</v>
      </c>
      <c r="Q9" s="8">
        <v>0</v>
      </c>
      <c r="R9" s="19">
        <v>0</v>
      </c>
      <c r="S9" s="9">
        <f t="shared" si="1"/>
        <v>8795000</v>
      </c>
    </row>
    <row r="10" spans="1:20" x14ac:dyDescent="0.25">
      <c r="A10" s="1">
        <v>5</v>
      </c>
      <c r="B10" s="2" t="s">
        <v>47</v>
      </c>
      <c r="C10" s="3" t="s">
        <v>21</v>
      </c>
      <c r="D10" s="3" t="s">
        <v>20</v>
      </c>
      <c r="E10" s="41">
        <v>45975</v>
      </c>
      <c r="F10" s="41" t="s">
        <v>42</v>
      </c>
      <c r="G10" s="4">
        <v>22</v>
      </c>
      <c r="H10" s="20">
        <v>250000</v>
      </c>
      <c r="I10" s="5">
        <f t="shared" si="0"/>
        <v>5500000</v>
      </c>
      <c r="J10" s="20">
        <v>0</v>
      </c>
      <c r="K10" s="20">
        <v>0</v>
      </c>
      <c r="L10" s="20">
        <v>0</v>
      </c>
      <c r="M10" s="7">
        <v>0</v>
      </c>
      <c r="N10" s="7">
        <v>0</v>
      </c>
      <c r="O10" s="8">
        <v>0</v>
      </c>
      <c r="P10" s="8">
        <v>0</v>
      </c>
      <c r="Q10" s="8">
        <v>0</v>
      </c>
      <c r="R10" s="8">
        <v>0</v>
      </c>
      <c r="S10" s="9">
        <f t="shared" si="1"/>
        <v>5500000</v>
      </c>
    </row>
    <row r="11" spans="1:20" x14ac:dyDescent="0.25">
      <c r="A11" s="1">
        <v>6</v>
      </c>
      <c r="B11" s="2" t="s">
        <v>48</v>
      </c>
      <c r="C11" s="3" t="s">
        <v>21</v>
      </c>
      <c r="D11" s="3" t="s">
        <v>20</v>
      </c>
      <c r="E11" s="41">
        <v>45975</v>
      </c>
      <c r="F11" s="41" t="s">
        <v>42</v>
      </c>
      <c r="G11" s="4">
        <v>17</v>
      </c>
      <c r="H11" s="20">
        <v>266666</v>
      </c>
      <c r="I11" s="5">
        <f t="shared" si="0"/>
        <v>4533322</v>
      </c>
      <c r="J11" s="20">
        <v>0</v>
      </c>
      <c r="K11" s="20">
        <v>0</v>
      </c>
      <c r="L11" s="20">
        <v>0</v>
      </c>
      <c r="M11" s="8">
        <v>135000</v>
      </c>
      <c r="N11" s="7">
        <v>70000</v>
      </c>
      <c r="O11" s="8">
        <v>0</v>
      </c>
      <c r="P11" s="8">
        <v>0</v>
      </c>
      <c r="Q11" s="8">
        <v>0</v>
      </c>
      <c r="R11" s="8">
        <v>700000</v>
      </c>
      <c r="S11" s="9">
        <f t="shared" si="1"/>
        <v>4328322</v>
      </c>
      <c r="T11" s="14"/>
    </row>
    <row r="12" spans="1:20" x14ac:dyDescent="0.25">
      <c r="S12" s="21">
        <f>SUM(S6:S11)</f>
        <v>40021600</v>
      </c>
    </row>
    <row r="15" spans="1:20" x14ac:dyDescent="0.25">
      <c r="S15" s="14"/>
    </row>
  </sheetData>
  <mergeCells count="19">
    <mergeCell ref="M4:M5"/>
    <mergeCell ref="N4:N5"/>
    <mergeCell ref="A4:A5"/>
    <mergeCell ref="B4:B5"/>
    <mergeCell ref="C4:C5"/>
    <mergeCell ref="D4:D5"/>
    <mergeCell ref="G4:G5"/>
    <mergeCell ref="E4:E5"/>
    <mergeCell ref="F4:F5"/>
    <mergeCell ref="J4:J5"/>
    <mergeCell ref="K4:K5"/>
    <mergeCell ref="L4:L5"/>
    <mergeCell ref="I4:I5"/>
    <mergeCell ref="H4:H5"/>
    <mergeCell ref="O4:O5"/>
    <mergeCell ref="P4:P5"/>
    <mergeCell ref="Q4:Q5"/>
    <mergeCell ref="R4:R5"/>
    <mergeCell ref="S4:S5"/>
  </mergeCells>
  <phoneticPr fontId="7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9E9F02-B772-4389-B83A-E321D8940069}">
  <sheetPr codeName="Sheet19">
    <pageSetUpPr fitToPage="1"/>
  </sheetPr>
  <dimension ref="B1:L34"/>
  <sheetViews>
    <sheetView view="pageBreakPreview" topLeftCell="B1" zoomScale="85" zoomScaleNormal="50" zoomScaleSheetLayoutView="85" workbookViewId="0">
      <selection activeCell="F10" sqref="F10"/>
    </sheetView>
  </sheetViews>
  <sheetFormatPr defaultRowHeight="15" x14ac:dyDescent="0.25"/>
  <cols>
    <col min="2" max="2" width="32.5703125" bestFit="1" customWidth="1"/>
    <col min="3" max="3" width="35.85546875" customWidth="1"/>
    <col min="4" max="4" width="3.5703125" customWidth="1"/>
    <col min="5" max="5" width="34.42578125" bestFit="1" customWidth="1"/>
    <col min="6" max="6" width="28.5703125" customWidth="1"/>
    <col min="12" max="12" width="22.85546875" customWidth="1"/>
  </cols>
  <sheetData>
    <row r="1" spans="2:12" x14ac:dyDescent="0.25">
      <c r="B1" s="11"/>
      <c r="C1" s="12"/>
      <c r="D1" s="12"/>
      <c r="E1" s="12"/>
      <c r="F1" s="13"/>
    </row>
    <row r="2" spans="2:12" ht="25.5" x14ac:dyDescent="0.25">
      <c r="B2" s="84" t="s">
        <v>51</v>
      </c>
      <c r="C2" s="59"/>
      <c r="D2" s="59"/>
      <c r="E2" s="59"/>
      <c r="F2" s="60"/>
    </row>
    <row r="3" spans="2:12" ht="23.25" x14ac:dyDescent="0.25">
      <c r="B3" s="81" t="s">
        <v>52</v>
      </c>
      <c r="C3" s="83"/>
      <c r="D3" s="83"/>
      <c r="E3" s="83"/>
      <c r="F3" s="62"/>
    </row>
    <row r="4" spans="2:12" ht="23.25" x14ac:dyDescent="0.25">
      <c r="B4" s="81" t="s">
        <v>53</v>
      </c>
      <c r="C4" s="61"/>
      <c r="D4" s="61"/>
      <c r="E4" s="61"/>
      <c r="F4" s="62"/>
    </row>
    <row r="5" spans="2:12" ht="27.75" thickBot="1" x14ac:dyDescent="0.3">
      <c r="B5" s="82" t="s">
        <v>54</v>
      </c>
      <c r="C5" s="63"/>
      <c r="D5" s="63"/>
      <c r="E5" s="63"/>
      <c r="F5" s="64"/>
      <c r="I5" s="22"/>
      <c r="J5" s="22"/>
      <c r="K5" s="22"/>
      <c r="L5" s="22"/>
    </row>
    <row r="6" spans="2:12" ht="27.75" thickTop="1" x14ac:dyDescent="0.25">
      <c r="B6" s="65" t="s">
        <v>23</v>
      </c>
      <c r="C6" s="66"/>
      <c r="D6" s="66"/>
      <c r="E6" s="66"/>
      <c r="F6" s="67"/>
      <c r="I6" s="22"/>
      <c r="J6" s="22"/>
      <c r="K6" s="22"/>
      <c r="L6" s="22"/>
    </row>
    <row r="7" spans="2:12" ht="27" x14ac:dyDescent="0.25">
      <c r="B7" s="24"/>
      <c r="C7" s="46"/>
      <c r="D7" s="46"/>
      <c r="E7" s="46"/>
      <c r="F7" s="25"/>
      <c r="I7" s="22"/>
      <c r="J7" s="22"/>
      <c r="K7" s="22"/>
      <c r="L7" s="22"/>
    </row>
    <row r="8" spans="2:12" ht="20.25" x14ac:dyDescent="0.25">
      <c r="B8" s="26" t="s">
        <v>1</v>
      </c>
      <c r="C8" s="47" t="s">
        <v>43</v>
      </c>
      <c r="D8" s="48"/>
      <c r="E8" s="49" t="s">
        <v>24</v>
      </c>
      <c r="F8" s="50" t="s">
        <v>18</v>
      </c>
      <c r="I8" s="23"/>
      <c r="J8" s="23"/>
      <c r="K8" s="23"/>
      <c r="L8" s="23"/>
    </row>
    <row r="9" spans="2:12" ht="20.25" x14ac:dyDescent="0.25">
      <c r="B9" s="26" t="s">
        <v>3</v>
      </c>
      <c r="C9" s="47" t="str">
        <f>VLOOKUP($C$8,TABELGAJI,3,FALSE)</f>
        <v>WELDER</v>
      </c>
      <c r="D9" s="48"/>
      <c r="E9" s="49" t="s">
        <v>25</v>
      </c>
      <c r="F9" s="51">
        <f>VLOOKUP($C$8,TABELGAJI,4,FALSE)</f>
        <v>45975</v>
      </c>
      <c r="I9" s="28"/>
      <c r="J9" s="28"/>
      <c r="K9" s="28"/>
      <c r="L9" s="28"/>
    </row>
    <row r="10" spans="2:12" ht="20.25" x14ac:dyDescent="0.25">
      <c r="B10" s="26" t="s">
        <v>26</v>
      </c>
      <c r="C10" s="47" t="str">
        <f>VLOOKUP($C$8,TABELGAJI,2,FALSE)</f>
        <v>TABANG</v>
      </c>
      <c r="D10" s="48"/>
      <c r="E10" s="49" t="s">
        <v>27</v>
      </c>
      <c r="F10" s="50" t="str">
        <f>VLOOKUP($C$8,TABELGAJI,5,FALSE)</f>
        <v>OKTOBER 2025</v>
      </c>
      <c r="I10" s="29"/>
    </row>
    <row r="11" spans="2:12" ht="20.25" x14ac:dyDescent="0.3">
      <c r="B11" s="30"/>
      <c r="C11" s="52"/>
      <c r="D11" s="48"/>
      <c r="E11" s="48"/>
      <c r="F11" s="27"/>
    </row>
    <row r="12" spans="2:12" ht="21" thickBot="1" x14ac:dyDescent="0.35">
      <c r="B12" s="31" t="s">
        <v>28</v>
      </c>
      <c r="C12" s="32"/>
      <c r="D12" s="47"/>
      <c r="E12" s="33" t="s">
        <v>29</v>
      </c>
      <c r="F12" s="34"/>
    </row>
    <row r="13" spans="2:12" ht="21" thickTop="1" x14ac:dyDescent="0.25">
      <c r="B13" s="35" t="s">
        <v>13</v>
      </c>
      <c r="C13" s="53">
        <f>VLOOKUP($C$8,TABELGAJI,7,FALSE)</f>
        <v>256666</v>
      </c>
      <c r="D13" s="48"/>
      <c r="E13" s="52" t="s">
        <v>8</v>
      </c>
      <c r="F13" s="54">
        <f>VLOOKUP($C$8,TABELGAJI,13,FALSE)</f>
        <v>70000</v>
      </c>
    </row>
    <row r="14" spans="2:12" ht="20.25" x14ac:dyDescent="0.25">
      <c r="B14" s="35" t="s">
        <v>22</v>
      </c>
      <c r="C14" s="55">
        <f>VLOOKUP($C$8,TABELGAJI,6,FALSE)</f>
        <v>30</v>
      </c>
      <c r="D14" s="48"/>
      <c r="E14" s="52" t="s">
        <v>7</v>
      </c>
      <c r="F14" s="54">
        <f>VLOOKUP($C$8,TABELGAJI,12,FALSE)</f>
        <v>135000</v>
      </c>
    </row>
    <row r="15" spans="2:12" ht="20.25" x14ac:dyDescent="0.25">
      <c r="B15" s="35"/>
      <c r="C15" s="55"/>
      <c r="D15" s="48"/>
      <c r="E15" s="52" t="s">
        <v>30</v>
      </c>
      <c r="F15" s="54">
        <f>VLOOKUP($C$8,TABELGAJI,16,FALSE)</f>
        <v>0</v>
      </c>
    </row>
    <row r="16" spans="2:12" ht="20.25" x14ac:dyDescent="0.25">
      <c r="B16" s="35" t="s">
        <v>41</v>
      </c>
      <c r="C16" s="56">
        <f>VLOOKUP($C$8,TABELGAJI,8,FALSE)</f>
        <v>7699980</v>
      </c>
      <c r="D16" s="48"/>
      <c r="E16" s="52" t="s">
        <v>31</v>
      </c>
      <c r="F16" s="54">
        <f>VLOOKUP($C$8,TABELGAJI,14,FALSE)</f>
        <v>0</v>
      </c>
    </row>
    <row r="17" spans="2:6" ht="20.25" x14ac:dyDescent="0.25">
      <c r="B17" s="35" t="s">
        <v>14</v>
      </c>
      <c r="C17" s="56">
        <f>VLOOKUP($C$8,TABELGAJI,9,FALSE)</f>
        <v>0</v>
      </c>
      <c r="D17" s="48"/>
      <c r="E17" s="52" t="s">
        <v>33</v>
      </c>
      <c r="F17" s="54">
        <f>VLOOKUP($C$8,TABELGAJI,15,FALSE)</f>
        <v>0</v>
      </c>
    </row>
    <row r="18" spans="2:6" ht="20.25" x14ac:dyDescent="0.25">
      <c r="B18" s="35" t="s">
        <v>31</v>
      </c>
      <c r="C18" s="56">
        <f>VLOOKUP($C$8,TABELGAJI,10,FALSE)</f>
        <v>0</v>
      </c>
      <c r="D18" s="48"/>
      <c r="E18" s="52"/>
      <c r="F18" s="54"/>
    </row>
    <row r="19" spans="2:6" ht="20.25" x14ac:dyDescent="0.25">
      <c r="B19" s="35" t="s">
        <v>32</v>
      </c>
      <c r="C19" s="56">
        <f>VLOOKUP($C$8,TABELGAJI,11,FALSE)</f>
        <v>0</v>
      </c>
      <c r="D19" s="48"/>
      <c r="E19" s="52"/>
      <c r="F19" s="54"/>
    </row>
    <row r="20" spans="2:6" ht="20.25" x14ac:dyDescent="0.3">
      <c r="B20" s="30"/>
      <c r="C20" s="48"/>
      <c r="D20" s="48"/>
      <c r="E20" s="48"/>
      <c r="F20" s="27"/>
    </row>
    <row r="21" spans="2:6" ht="21" thickBot="1" x14ac:dyDescent="0.35">
      <c r="B21" s="31" t="s">
        <v>34</v>
      </c>
      <c r="C21" s="42">
        <f>SUM(C16:C19)</f>
        <v>7699980</v>
      </c>
      <c r="D21" s="47"/>
      <c r="E21" s="33" t="s">
        <v>35</v>
      </c>
      <c r="F21" s="43">
        <f>SUM(F13:F17)</f>
        <v>205000</v>
      </c>
    </row>
    <row r="22" spans="2:6" ht="21" thickTop="1" x14ac:dyDescent="0.3">
      <c r="B22" s="36"/>
      <c r="C22" s="37"/>
      <c r="D22" s="37"/>
      <c r="E22" s="37"/>
      <c r="F22" s="27"/>
    </row>
    <row r="23" spans="2:6" ht="20.25" x14ac:dyDescent="0.3">
      <c r="B23" s="38" t="s">
        <v>11</v>
      </c>
      <c r="C23" s="56">
        <f>VLOOKUP($C$8,TABELGAJI,17,FALSE)</f>
        <v>1000000</v>
      </c>
      <c r="D23" s="37"/>
      <c r="E23" s="37"/>
      <c r="F23" s="27"/>
    </row>
    <row r="24" spans="2:6" ht="20.25" x14ac:dyDescent="0.3">
      <c r="B24" s="36"/>
      <c r="C24" s="37"/>
      <c r="D24" s="37"/>
      <c r="E24" s="37"/>
      <c r="F24" s="27"/>
    </row>
    <row r="25" spans="2:6" ht="20.25" x14ac:dyDescent="0.3">
      <c r="B25" s="38" t="s">
        <v>36</v>
      </c>
      <c r="C25" s="57">
        <f>VLOOKUP($C$8,TABELGAJI,18,FALSE)</f>
        <v>7494980</v>
      </c>
      <c r="D25" s="37"/>
      <c r="E25" s="37"/>
      <c r="F25" s="27"/>
    </row>
    <row r="26" spans="2:6" ht="20.25" x14ac:dyDescent="0.3">
      <c r="B26" s="36"/>
      <c r="C26" s="37"/>
      <c r="D26" s="37"/>
      <c r="E26" s="37"/>
      <c r="F26" s="27"/>
    </row>
    <row r="27" spans="2:6" ht="20.25" x14ac:dyDescent="0.3">
      <c r="B27" s="36"/>
      <c r="C27" s="48"/>
      <c r="D27" s="48"/>
      <c r="E27" s="48"/>
      <c r="F27" s="27"/>
    </row>
    <row r="28" spans="2:6" ht="20.25" x14ac:dyDescent="0.3">
      <c r="B28" s="36"/>
      <c r="C28" s="48" t="s">
        <v>15</v>
      </c>
      <c r="D28" s="48"/>
      <c r="E28" s="48" t="s">
        <v>16</v>
      </c>
      <c r="F28" s="27"/>
    </row>
    <row r="29" spans="2:6" ht="20.25" x14ac:dyDescent="0.3">
      <c r="B29" s="36"/>
      <c r="C29" s="48"/>
      <c r="D29" s="48"/>
      <c r="E29" s="48"/>
      <c r="F29" s="27"/>
    </row>
    <row r="30" spans="2:6" ht="20.25" x14ac:dyDescent="0.3">
      <c r="B30" s="36"/>
      <c r="C30" s="48"/>
      <c r="D30" s="48"/>
      <c r="E30" s="48"/>
      <c r="F30" s="27"/>
    </row>
    <row r="31" spans="2:6" ht="20.25" x14ac:dyDescent="0.3">
      <c r="B31" s="36"/>
      <c r="C31" s="48"/>
      <c r="D31" s="48"/>
      <c r="E31" s="48"/>
      <c r="F31" s="27"/>
    </row>
    <row r="32" spans="2:6" ht="21" thickBot="1" x14ac:dyDescent="0.35">
      <c r="B32" s="36"/>
      <c r="C32" s="44" t="str">
        <f>VLOOKUP($C$8,TABELGAJI,1,FALSE)</f>
        <v>NAMASATU SATU</v>
      </c>
      <c r="D32" s="58"/>
      <c r="E32" s="44" t="s">
        <v>17</v>
      </c>
      <c r="F32" s="27"/>
    </row>
    <row r="33" spans="2:6" ht="21" thickTop="1" x14ac:dyDescent="0.3">
      <c r="B33" s="39"/>
      <c r="C33" s="45" t="s">
        <v>18</v>
      </c>
      <c r="D33" s="45"/>
      <c r="E33" s="45" t="s">
        <v>19</v>
      </c>
      <c r="F33" s="40"/>
    </row>
    <row r="34" spans="2:6" ht="20.25" x14ac:dyDescent="0.3">
      <c r="B34" s="37"/>
      <c r="C34" s="37"/>
      <c r="D34" s="37"/>
      <c r="E34" s="37"/>
      <c r="F34" s="37"/>
    </row>
  </sheetData>
  <mergeCells count="5">
    <mergeCell ref="B6:F6"/>
    <mergeCell ref="B4:F4"/>
    <mergeCell ref="B5:F5"/>
    <mergeCell ref="B3:F3"/>
    <mergeCell ref="B2:F2"/>
  </mergeCells>
  <pageMargins left="0.19685039370078741" right="0.19685039370078741" top="0.35433070866141736" bottom="0.35433070866141736" header="0.31496062992125984" footer="0.31496062992125984"/>
  <pageSetup paperSize="9" scale="74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A30B7CF-394A-42BC-81FC-E7E41E74D686}">
          <x14:formula1>
            <xm:f>'OKT 25 NEW'!$B$6:$B$11</xm:f>
          </x14:formula1>
          <xm:sqref>C8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OKT 25 NEW</vt:lpstr>
      <vt:lpstr>slip gaji</vt:lpstr>
      <vt:lpstr>B</vt:lpstr>
      <vt:lpstr>JABATAN</vt:lpstr>
      <vt:lpstr>NAMA</vt:lpstr>
      <vt:lpstr>PERIODE</vt:lpstr>
      <vt:lpstr>'slip gaji'!Print_Area</vt:lpstr>
      <vt:lpstr>TABELGAJI</vt:lpstr>
      <vt:lpstr>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 LAPTOP</dc:creator>
  <cp:lastModifiedBy>fijaya bimasakti</cp:lastModifiedBy>
  <cp:lastPrinted>2025-11-21T05:04:52Z</cp:lastPrinted>
  <dcterms:created xsi:type="dcterms:W3CDTF">2024-09-14T08:14:23Z</dcterms:created>
  <dcterms:modified xsi:type="dcterms:W3CDTF">2025-11-21T06:23:31Z</dcterms:modified>
</cp:coreProperties>
</file>